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622ABC0FCB1851C/Documents/"/>
    </mc:Choice>
  </mc:AlternateContent>
  <xr:revisionPtr revIDLastSave="290" documentId="8_{0D95055C-C4A7-4A34-A478-DF26529DCBC9}" xr6:coauthVersionLast="47" xr6:coauthVersionMax="47" xr10:uidLastSave="{5C0E4826-E574-4D99-9AE1-A72735A8B155}"/>
  <bookViews>
    <workbookView xWindow="-108" yWindow="-108" windowWidth="23256" windowHeight="13896" tabRatio="448" activeTab="1" xr2:uid="{00000000-000D-0000-FFFF-FFFF00000000}"/>
  </bookViews>
  <sheets>
    <sheet name="Instructions" sheetId="1" r:id="rId1"/>
    <sheet name="Datas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rIR6213FxEpgZ/k1UDjxyMHI45/G9Bc960XOAAH4UN4="/>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2" i="2"/>
</calcChain>
</file>

<file path=xl/sharedStrings.xml><?xml version="1.0" encoding="utf-8"?>
<sst xmlns="http://schemas.openxmlformats.org/spreadsheetml/2006/main" count="181" uniqueCount="129">
  <si>
    <t>Perform the following in the dataset from the 'Dataset' sheet.</t>
  </si>
  <si>
    <t>1) Handling Missing Values:</t>
  </si>
  <si>
    <t>• Check for missing values in the 'Price' column. How would you handle products with missing price information?</t>
  </si>
  <si>
    <t>• If there are products with missing categories, propose a strategy to impute or deal with these missing values effectively.</t>
  </si>
  <si>
    <t>2) Correcting Inconsistent Data:</t>
  </si>
  <si>
    <t>• Identify any inconsistent text formats present in the "Product Name" column.</t>
  </si>
  <si>
    <t>• Identify any typos present in the "Category" column.</t>
  </si>
  <si>
    <t>• Use the find and replace function to standardize the text formats in the "Product Name" column and fix any typos or misspellings in the "Category" column.</t>
  </si>
  <si>
    <t>3) Removing Duplicates:</t>
  </si>
  <si>
    <t>• Identify any duplicate rows within the dataset based on the entirety of each row, and remove them if any.</t>
  </si>
  <si>
    <t>4) Splitting and Merging Data:</t>
  </si>
  <si>
    <t>• Split the "Product ID" column into two separate columns for " Manufacturing Date" and "Country Code". Remove unnecessary characters, if any.</t>
  </si>
  <si>
    <t>• Merge the "Brand Name" and "Product Name" columns into one column named "Product Brand".</t>
  </si>
  <si>
    <t>5) Number Formatting:</t>
  </si>
  <si>
    <t xml:space="preserve">• Format the data type of the "Price" column to currency format. </t>
  </si>
  <si>
    <t xml:space="preserve">• Format the "Manufacturing Date" column to display dates in the "DD-MM-YYYY " format. </t>
  </si>
  <si>
    <t>6) Conditional Formatting:</t>
  </si>
  <si>
    <t>• Apply data bar or color scales conditional formatting in the "Price" column.</t>
  </si>
  <si>
    <t>• Create a custom rule for conditional formatting in the "Category" column to highlight cells where the category is "Electronics."</t>
  </si>
  <si>
    <t>Product ID</t>
  </si>
  <si>
    <t>Product Name</t>
  </si>
  <si>
    <t>Brand Name</t>
  </si>
  <si>
    <t>Price ($)</t>
  </si>
  <si>
    <t>Quantity</t>
  </si>
  <si>
    <t>Category</t>
  </si>
  <si>
    <t>28-JAN-US</t>
  </si>
  <si>
    <t>Dell</t>
  </si>
  <si>
    <t>Electronics</t>
  </si>
  <si>
    <t>15-FEB-US</t>
  </si>
  <si>
    <t>Sneakers</t>
  </si>
  <si>
    <t>Nike</t>
  </si>
  <si>
    <t>Fashion</t>
  </si>
  <si>
    <t>03-MAR-US</t>
  </si>
  <si>
    <t>Coffee Maker</t>
  </si>
  <si>
    <t>Keurig</t>
  </si>
  <si>
    <t>Kitchen</t>
  </si>
  <si>
    <t>11-APR-US</t>
  </si>
  <si>
    <t>Samsung</t>
  </si>
  <si>
    <t>22-MAY-US</t>
  </si>
  <si>
    <t>Backpack</t>
  </si>
  <si>
    <t>North Face</t>
  </si>
  <si>
    <t>07-JUN-UK</t>
  </si>
  <si>
    <t>Headphones</t>
  </si>
  <si>
    <t>Sony</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</si>
  <si>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</si>
  <si>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</si>
  <si>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</si>
  <si>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</si>
  <si>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</si>
  <si>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</si>
  <si>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</si>
  <si>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</si>
  <si>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</si>
  <si>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</si>
  <si>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</si>
  <si>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</si>
  <si>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</si>
  <si>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</si>
  <si>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</si>
  <si>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</si>
  <si>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</si>
  <si>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</si>
  <si>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</si>
  <si>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</si>
  <si>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</si>
  <si>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</si>
  <si>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</si>
  <si>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</si>
  <si>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</si>
  <si>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</si>
  <si>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</si>
  <si>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</si>
  <si>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</si>
  <si>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</si>
  <si>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</si>
  <si>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</si>
  <si>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</si>
  <si>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</si>
  <si>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</si>
  <si>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</si>
  <si>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</si>
  <si>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</si>
  <si>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</si>
  <si>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</si>
  <si>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</si>
  <si>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</si>
  <si>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</si>
  <si>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</si>
  <si>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</si>
  <si>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</si>
  <si>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</si>
  <si>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</si>
  <si>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</si>
  <si>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</si>
  <si>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</si>
  <si>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</si>
  <si>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</si>
  <si>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</si>
  <si>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</si>
  <si>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</si>
  <si>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</si>
  <si>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</si>
  <si>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</si>
  <si>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</si>
  <si>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</si>
  <si>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</si>
  <si>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</si>
  <si>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</si>
  <si>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</si>
  <si>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</si>
  <si>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</si>
  <si>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</si>
  <si>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Replaced price($)</t>
  </si>
  <si>
    <t>Replaced category</t>
  </si>
  <si>
    <t>Manufacturing Date</t>
  </si>
  <si>
    <t>Country Code</t>
  </si>
  <si>
    <t>US</t>
  </si>
  <si>
    <t>UK</t>
  </si>
  <si>
    <t>IN</t>
  </si>
  <si>
    <t>AU</t>
  </si>
  <si>
    <t>DE</t>
  </si>
  <si>
    <t>CA</t>
  </si>
  <si>
    <t>ES</t>
  </si>
  <si>
    <t>CN</t>
  </si>
  <si>
    <t>IT</t>
  </si>
  <si>
    <t>RU</t>
  </si>
  <si>
    <t>BR</t>
  </si>
  <si>
    <t>FR</t>
  </si>
  <si>
    <t>Product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</si>
</sst>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quot;₹&quot;\ #,##0.00"/>
  </numFmts>
  <fonts count="12" x14ac:knownFonts="1">
    <font>
      <sz val="10"/>
      <color rgb="FF000000"/>
      <name val="Arial"/>
      <scheme val="minor"/>
    </font>
    <font>
      <b/>
      <sz val="11"/>
      <color theme="1"/>
      <name val="Arial"/>
    </font>
    <font>
      <b/>
      <sz val="12"/>
      <color theme="1"/>
      <name val="Times New Roman"/>
    </font>
    <font>
      <sz val="12"/>
      <color theme="1"/>
      <name val="Times New Roman"/>
    </font>
    <font>
      <b/>
      <sz val="11"/>
      <color theme="1"/>
      <name val="Calibri"/>
    </font>
    <font>
      <sz val="10"/>
      <color theme="1"/>
      <name val="Arial"/>
    </font>
    <font>
      <sz val="11"/>
      <color theme="1"/>
      <name val="Times New Roman"/>
    </font>
    <font>
      <b/>
      <sz val="10"/>
      <color theme="1"/>
      <name val="Arial"/>
    </font>
    <font>
      <sz val="10"/>
      <color theme="1"/>
      <name val="Arial"/>
      <family val="2"/>
    </font>
    <font>
      <b/>
      <sz val="10"/>
      <color theme="1"/>
      <name val="Arial"/>
      <family val="2"/>
    </font>
    <font>
      <b/>
      <u/>
      <sz val="10"/>
      <color rgb="FF000000"/>
      <name val="Arial"/>
      <family val="2"/>
      <scheme val="minor"/>
    </font>
    <font>
      <sz val="10"/>
      <color rgb="FF000000"/>
      <name val="Arial"/>
      <family val="2"/>
      <scheme val="minor"/>
    </font>
  </fonts>
  <fills count="4">
    <fill>
      <patternFill patternType="none"/>
    </fill>
    <fill>
      <patternFill patternType="gray125"/>
    </fill>
    <fill>
      <patternFill patternType="solid">
        <fgColor rgb="FF4DD0E1"/>
        <bgColor rgb="FF4DD0E1"/>
      </patternFill>
    </fill>
    <fill>
      <patternFill patternType="solid">
        <fgColor rgb="FFE0F7FA"/>
        <bgColor rgb="FFE0F7F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xf>
    <xf numFmtId="0" fontId="5" fillId="3" borderId="0" xfId="0" applyFont="1" applyFill="1"/>
    <xf numFmtId="0" fontId="9" fillId="2" borderId="0" xfId="0" applyFont="1" applyFill="1" applyAlignment="1">
      <alignment horizontal="center"/>
    </xf>
    <xf numFmtId="0" fontId="8" fillId="0" borderId="0" xfId="0" applyFont="1"/>
    <xf numFmtId="14" fontId="5" fillId="0" borderId="0" xfId="0" applyNumberFormat="1" applyFont="1"/>
    <xf numFmtId="173" fontId="5" fillId="0" borderId="0" xfId="0" applyNumberFormat="1" applyFont="1"/>
    <xf numFmtId="0" fontId="0" fillId="0" borderId="0" xfId="0" applyAlignment="1">
      <alignment horizontal="center"/>
    </xf>
    <xf numFmtId="14" fontId="0" fillId="0" borderId="0" xfId="0" applyNumberFormat="1" applyAlignment="1">
      <alignment horizontal="center"/>
    </xf>
    <xf numFmtId="0" fontId="10" fillId="0" borderId="0" xfId="0" applyFont="1" applyAlignment="1">
      <alignment horizontal="center"/>
    </xf>
    <xf numFmtId="0" fontId="11" fillId="0" borderId="0" xfId="0" applyFont="1"/>
  </cellXfs>
  <cellStyles count="1">
    <cellStyle name="Normal" xfId="0" builtinId="0"/>
  </cellStyles>
  <dxfs count="13">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9" formatCode="dd/mm/yyyy"/>
    </dxf>
    <dxf>
      <font>
        <b/>
        <i val="0"/>
        <strike val="0"/>
        <condense val="0"/>
        <extend val="0"/>
        <outline val="0"/>
        <shadow val="0"/>
        <u val="none"/>
        <vertAlign val="baseline"/>
        <sz val="10"/>
        <color theme="1"/>
        <name val="Arial"/>
        <family val="2"/>
        <scheme val="none"/>
      </font>
      <fill>
        <patternFill patternType="solid">
          <fgColor rgb="FF4DD0E1"/>
          <bgColor rgb="FF4DD0E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numFmt numFmtId="173" formatCode="&quot;₹&quot;\ #,##0.00"/>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12</xdr:col>
      <xdr:colOff>1</xdr:colOff>
      <xdr:row>1</xdr:row>
      <xdr:rowOff>127000</xdr:rowOff>
    </xdr:from>
    <xdr:ext cx="5935134" cy="3953934"/>
    <xdr:sp macro="" textlink="">
      <xdr:nvSpPr>
        <xdr:cNvPr id="3" name="TextBox 2">
          <a:extLst>
            <a:ext uri="{FF2B5EF4-FFF2-40B4-BE49-F238E27FC236}">
              <a16:creationId xmlns:a16="http://schemas.microsoft.com/office/drawing/2014/main" id="{5A4AC3DD-CC7B-FD54-DFF5-4FAA16F7CF84}"/>
            </a:ext>
          </a:extLst>
        </xdr:cNvPr>
        <xdr:cNvSpPr txBox="1"/>
      </xdr:nvSpPr>
      <xdr:spPr>
        <a:xfrm>
          <a:off x="14723534" y="321733"/>
          <a:ext cx="5935134" cy="395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t>   </a:t>
          </a:r>
          <a:r>
            <a:rPr lang="en-IN" sz="1100" b="1" u="sng"/>
            <a:t>ANSWERS</a:t>
          </a:r>
        </a:p>
        <a:p>
          <a:pPr algn="ctr"/>
          <a:endParaRPr lang="en-IN" sz="1100" b="1" u="sng"/>
        </a:p>
        <a:p>
          <a:pPr algn="ctr"/>
          <a:endParaRPr lang="en-IN" sz="1100" b="1" u="sng"/>
        </a:p>
        <a:p>
          <a:pPr algn="l"/>
          <a:r>
            <a:rPr lang="en-IN" sz="1100" b="1" u="none"/>
            <a:t>1.HANDLING</a:t>
          </a:r>
          <a:r>
            <a:rPr lang="en-IN" sz="1100" b="1" u="none" baseline="0"/>
            <a:t> MISSING VALUES </a:t>
          </a:r>
          <a:r>
            <a:rPr lang="en-IN" sz="1100" b="0" u="none" baseline="0"/>
            <a:t>(price column, Category) : </a:t>
          </a:r>
        </a:p>
        <a:p>
          <a:pPr algn="l"/>
          <a:r>
            <a:rPr lang="en-IN" sz="1100" b="0" u="none" baseline="0"/>
            <a:t>missing values in the price column can be handled by replacing them with the average of the available price.A helper column named "Replaced price" can be created using an IF and ISBLANK formula.If the price is missing ,the average price is used ;otherwise the original price.</a:t>
          </a:r>
        </a:p>
        <a:p>
          <a:pPr algn="l"/>
          <a:endParaRPr lang="en-IN" sz="1100" b="0" u="none" baseline="0"/>
        </a:p>
        <a:p>
          <a:pPr algn="l"/>
          <a:r>
            <a:rPr lang="en-IN" sz="1100" b="0" u="none" baseline="0"/>
            <a:t> </a:t>
          </a:r>
          <a:r>
            <a:rPr lang="en-IN" sz="1100" b="0" baseline="0">
              <a:solidFill>
                <a:schemeClr val="tx1"/>
              </a:solidFill>
              <a:effectLst/>
              <a:latin typeface="+mn-lt"/>
              <a:ea typeface="+mn-ea"/>
              <a:cs typeface="+mn-cs"/>
            </a:rPr>
            <a:t>missing values in the category column can be handled by replacing them with "UNKNOWN" in  a helper column named "Replaced category" can be created using an IF and ISBLANK formula.If the category is missing ,the "UNKNOWN" is displayed ;otherwise the original category.</a:t>
          </a:r>
        </a:p>
        <a:p>
          <a:pPr algn="l"/>
          <a:endParaRPr lang="en-IN" sz="1100" b="0" baseline="0">
            <a:solidFill>
              <a:schemeClr val="tx1"/>
            </a:solidFill>
            <a:effectLst/>
            <a:latin typeface="+mn-lt"/>
            <a:ea typeface="+mn-ea"/>
            <a:cs typeface="+mn-cs"/>
          </a:endParaRPr>
        </a:p>
        <a:p>
          <a:pPr algn="l"/>
          <a:r>
            <a:rPr lang="en-IN" sz="1100" b="1" baseline="0">
              <a:solidFill>
                <a:schemeClr val="tx1"/>
              </a:solidFill>
              <a:effectLst/>
              <a:latin typeface="+mn-lt"/>
              <a:ea typeface="+mn-ea"/>
              <a:cs typeface="+mn-cs"/>
            </a:rPr>
            <a:t>2.CORRECTING INCONSISTENT DATA</a:t>
          </a:r>
        </a:p>
        <a:p>
          <a:pPr algn="l"/>
          <a:r>
            <a:rPr lang="en-IN" sz="1100" b="1" baseline="0">
              <a:solidFill>
                <a:schemeClr val="tx1"/>
              </a:solidFill>
              <a:effectLst/>
              <a:latin typeface="+mn-lt"/>
              <a:ea typeface="+mn-ea"/>
              <a:cs typeface="+mn-cs"/>
            </a:rPr>
            <a:t> </a:t>
          </a:r>
        </a:p>
        <a:p>
          <a:pPr algn="l"/>
          <a:r>
            <a:rPr lang="en-IN" sz="1100" b="0" u="none" baseline="0">
              <a:solidFill>
                <a:schemeClr val="tx1"/>
              </a:solidFill>
              <a:effectLst/>
              <a:latin typeface="+mn-lt"/>
              <a:ea typeface="+mn-ea"/>
              <a:cs typeface="+mn-cs"/>
            </a:rPr>
            <a:t>Product Name : laptop ;Laptop</a:t>
          </a:r>
        </a:p>
        <a:p>
          <a:pPr algn="l"/>
          <a:r>
            <a:rPr lang="en-IN" sz="1100" b="0" u="none" baseline="0">
              <a:solidFill>
                <a:schemeClr val="tx1"/>
              </a:solidFill>
              <a:effectLst/>
              <a:latin typeface="+mn-lt"/>
              <a:ea typeface="+mn-ea"/>
              <a:cs typeface="+mn-cs"/>
            </a:rPr>
            <a:t>                          headphones ; Headphones</a:t>
          </a:r>
        </a:p>
        <a:p>
          <a:pPr algn="l"/>
          <a:r>
            <a:rPr lang="en-IN" sz="1100" b="0" u="none" baseline="0">
              <a:solidFill>
                <a:schemeClr val="tx1"/>
              </a:solidFill>
              <a:effectLst/>
              <a:latin typeface="+mn-lt"/>
              <a:ea typeface="+mn-ea"/>
              <a:cs typeface="+mn-cs"/>
            </a:rPr>
            <a:t>                           smartphone ; Smartphone</a:t>
          </a:r>
        </a:p>
        <a:p>
          <a:pPr algn="l"/>
          <a:endParaRPr lang="en-IN" sz="1100" b="0" u="none" baseline="0"/>
        </a:p>
        <a:p>
          <a:pPr algn="l"/>
          <a:r>
            <a:rPr lang="en-IN" sz="1100" b="0" u="none" baseline="0"/>
            <a:t>Category column : electroni ;Electronics </a:t>
          </a:r>
        </a:p>
        <a:p>
          <a:pPr algn="l"/>
          <a:r>
            <a:rPr lang="en-IN" sz="1100" b="0" u="none" baseline="0"/>
            <a:t>   </a:t>
          </a:r>
          <a:endParaRPr lang="en-IN" sz="1100" b="0" u="none"/>
        </a:p>
        <a:p>
          <a:pPr algn="ctr"/>
          <a:endParaRPr lang="en-IN" sz="1100" b="1" u="sng"/>
        </a:p>
        <a:p>
          <a:pPr algn="ctr"/>
          <a:endParaRPr lang="en-IN" sz="1100" b="1" u="sng"/>
        </a:p>
        <a:p>
          <a:pPr algn="ctr"/>
          <a:endParaRPr lang="en-IN" sz="1100" b="1" u="sng"/>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0692DF-3C65-4142-8974-59A82AA91519}" name="Table2" displayName="Table2" ref="A1:K32" totalsRowShown="0" headerRowDxfId="2">
  <autoFilter ref="A1:K32" xr:uid="{C30692DF-3C65-4142-8974-59A82AA91519}"/>
  <tableColumns count="11">
    <tableColumn id="1" xr3:uid="{96E2F9FD-96E6-4708-B9B5-82AF13E969A3}" name="Product ID" dataDxfId="11"/>
    <tableColumn id="2" xr3:uid="{C2028DCA-3540-47B1-9FA4-F5AA646CEA91}" name="Product Name" dataDxfId="10"/>
    <tableColumn id="3" xr3:uid="{4D15E714-A30C-41E8-8EF6-1A4A9458BD6C}" name="Brand Name" dataDxfId="9"/>
    <tableColumn id="4" xr3:uid="{F6130F85-96E7-4C71-A3FB-5EAB39A164B0}" name="Product Brand" dataDxfId="8">
      <calculatedColumnFormula>CONCATENATE(B2," - ",C2)</calculatedColumnFormula>
    </tableColumn>
    <tableColumn id="5" xr3:uid="{2C005A3F-28D2-4922-A2DD-7F3760FB4B46}" name="Price ($)" dataDxfId="7"/>
    <tableColumn id="6" xr3:uid="{DE55FCCE-40CE-49EC-89C6-C4B6C6084E03}" name="Replaced price($)" dataDxfId="6">
      <calculatedColumnFormula>IF(ISBLANK(E2),AVERAGE(E2:E35),E2)</calculatedColumnFormula>
    </tableColumn>
    <tableColumn id="7" xr3:uid="{A86553DE-0A9B-4A6B-84C6-41CECFCEA1A3}" name="Quantity" dataDxfId="5"/>
    <tableColumn id="8" xr3:uid="{9BC2441B-084A-45A3-9703-4D17A3D5CB24}" name="Category" dataDxfId="4"/>
    <tableColumn id="9" xr3:uid="{6D4C96C6-F868-40CD-B2AC-7DBDC56BDFEC}" name="Replaced category" dataDxfId="3">
      <calculatedColumnFormula>IF(ISBLANK(H2:H35),"UNKNOWN",H2)</calculatedColumnFormula>
    </tableColumn>
    <tableColumn id="10" xr3:uid="{41B4661F-9971-4925-9D99-051F7515B4EC}" name="Manufacturing Date" dataDxfId="1"/>
    <tableColumn id="11" xr3:uid="{0300D92C-D5EB-4120-8649-0C6E09A39378}" name="Country Code" dataDxfId="0"/>
  </tableColumns>
  <tableStyleInfo name="TableStyleMedium2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showGridLines="0" workbookViewId="0">
      <selection activeCell="H12" sqref="H12"/>
    </sheetView>
  </sheetViews>
  <sheetFormatPr defaultColWidth="12.6640625" defaultRowHeight="15" customHeight="1" x14ac:dyDescent="0.25"/>
  <cols>
    <col min="1" max="1" width="12.6640625" customWidth="1"/>
    <col min="2" max="2" width="7.44140625" customWidth="1"/>
    <col min="3" max="6" width="12.6640625" customWidth="1"/>
  </cols>
  <sheetData>
    <row r="1" spans="1:11" ht="15.75" customHeight="1" x14ac:dyDescent="0.25">
      <c r="A1" s="1" t="s">
        <v>0</v>
      </c>
    </row>
    <row r="2" spans="1:11" ht="15.75" customHeight="1" x14ac:dyDescent="0.25"/>
    <row r="3" spans="1:11" ht="15.75" customHeight="1" x14ac:dyDescent="0.3">
      <c r="B3" s="2" t="s">
        <v>1</v>
      </c>
    </row>
    <row r="4" spans="1:11" ht="15.75" customHeight="1" x14ac:dyDescent="0.3">
      <c r="C4" s="3" t="s">
        <v>2</v>
      </c>
    </row>
    <row r="5" spans="1:11" ht="15.75" customHeight="1" x14ac:dyDescent="0.3">
      <c r="B5" s="4"/>
      <c r="C5" s="3" t="s">
        <v>3</v>
      </c>
    </row>
    <row r="6" spans="1:11" ht="15.75" customHeight="1" x14ac:dyDescent="0.3">
      <c r="B6" s="4"/>
    </row>
    <row r="7" spans="1:11" ht="15.75" customHeight="1" x14ac:dyDescent="0.3">
      <c r="B7" s="2" t="s">
        <v>4</v>
      </c>
    </row>
    <row r="8" spans="1:11" ht="15.75" customHeight="1" x14ac:dyDescent="0.3">
      <c r="C8" s="3" t="s">
        <v>5</v>
      </c>
    </row>
    <row r="9" spans="1:11" ht="15.75" customHeight="1" x14ac:dyDescent="0.3">
      <c r="C9" s="3" t="s">
        <v>6</v>
      </c>
    </row>
    <row r="10" spans="1:11" ht="15.75" customHeight="1" x14ac:dyDescent="0.3">
      <c r="C10" s="3" t="s">
        <v>7</v>
      </c>
    </row>
    <row r="11" spans="1:11" ht="15.75" customHeight="1" x14ac:dyDescent="0.3">
      <c r="B11" s="4"/>
    </row>
    <row r="12" spans="1:11" ht="15.75" customHeight="1" x14ac:dyDescent="0.3">
      <c r="B12" s="2" t="s">
        <v>8</v>
      </c>
    </row>
    <row r="13" spans="1:11" ht="15.75" customHeight="1" x14ac:dyDescent="0.3">
      <c r="B13" s="2"/>
      <c r="C13" s="3" t="s">
        <v>9</v>
      </c>
    </row>
    <row r="14" spans="1:11" ht="15.75" customHeight="1" x14ac:dyDescent="0.25"/>
    <row r="15" spans="1:11" ht="15.75" customHeight="1" x14ac:dyDescent="0.3">
      <c r="B15" s="2" t="s">
        <v>10</v>
      </c>
      <c r="C15" s="5"/>
      <c r="D15" s="5"/>
      <c r="E15" s="5"/>
      <c r="F15" s="5"/>
      <c r="G15" s="5"/>
      <c r="H15" s="5"/>
      <c r="I15" s="5"/>
      <c r="J15" s="5"/>
      <c r="K15" s="5"/>
    </row>
    <row r="16" spans="1:11" ht="15.75" customHeight="1" x14ac:dyDescent="0.3">
      <c r="B16" s="5"/>
      <c r="C16" s="3" t="s">
        <v>11</v>
      </c>
      <c r="D16" s="5"/>
      <c r="E16" s="5"/>
      <c r="F16" s="5"/>
      <c r="G16" s="5"/>
      <c r="H16" s="5"/>
      <c r="I16" s="5"/>
      <c r="J16" s="5"/>
      <c r="K16" s="5"/>
    </row>
    <row r="17" spans="2:11" ht="15.75" customHeight="1" x14ac:dyDescent="0.3">
      <c r="B17" s="5"/>
      <c r="C17" s="3" t="s">
        <v>12</v>
      </c>
      <c r="D17" s="5"/>
      <c r="E17" s="5"/>
      <c r="F17" s="5"/>
      <c r="G17" s="5"/>
      <c r="H17" s="5"/>
      <c r="I17" s="5"/>
      <c r="J17" s="5"/>
      <c r="K17" s="5"/>
    </row>
    <row r="18" spans="2:11" ht="15.75" customHeight="1" x14ac:dyDescent="0.25">
      <c r="B18" s="5"/>
      <c r="C18" s="5"/>
      <c r="D18" s="5"/>
      <c r="E18" s="5"/>
      <c r="F18" s="5"/>
      <c r="G18" s="5"/>
      <c r="H18" s="5"/>
      <c r="I18" s="5"/>
      <c r="J18" s="5"/>
      <c r="K18" s="5"/>
    </row>
    <row r="19" spans="2:11" ht="15.75" customHeight="1" x14ac:dyDescent="0.3">
      <c r="B19" s="2" t="s">
        <v>13</v>
      </c>
      <c r="C19" s="5"/>
      <c r="D19" s="5"/>
      <c r="E19" s="5"/>
      <c r="F19" s="5"/>
      <c r="G19" s="5"/>
      <c r="H19" s="5"/>
      <c r="I19" s="5"/>
      <c r="J19" s="5"/>
      <c r="K19" s="5"/>
    </row>
    <row r="20" spans="2:11" ht="15.75" customHeight="1" x14ac:dyDescent="0.3">
      <c r="B20" s="5"/>
      <c r="C20" s="3" t="s">
        <v>14</v>
      </c>
      <c r="D20" s="5"/>
      <c r="E20" s="5"/>
      <c r="F20" s="5"/>
      <c r="G20" s="5"/>
      <c r="H20" s="5"/>
      <c r="I20" s="5"/>
      <c r="J20" s="5"/>
      <c r="K20" s="5"/>
    </row>
    <row r="21" spans="2:11" ht="15.75" customHeight="1" x14ac:dyDescent="0.3">
      <c r="B21" s="5"/>
      <c r="C21" s="3" t="s">
        <v>15</v>
      </c>
      <c r="D21" s="5"/>
      <c r="E21" s="5"/>
      <c r="F21" s="5"/>
      <c r="G21" s="5"/>
      <c r="H21" s="5"/>
      <c r="I21" s="5"/>
      <c r="J21" s="5"/>
      <c r="K21" s="5"/>
    </row>
    <row r="22" spans="2:11" ht="15.75" customHeight="1" x14ac:dyDescent="0.25">
      <c r="B22" s="5"/>
      <c r="C22" s="5"/>
      <c r="D22" s="5"/>
      <c r="E22" s="5"/>
      <c r="F22" s="5"/>
      <c r="G22" s="5"/>
      <c r="H22" s="5"/>
      <c r="I22" s="5"/>
      <c r="J22" s="5"/>
      <c r="K22" s="5"/>
    </row>
    <row r="23" spans="2:11" ht="15.75" customHeight="1" x14ac:dyDescent="0.3">
      <c r="B23" s="2" t="s">
        <v>16</v>
      </c>
      <c r="C23" s="5"/>
      <c r="D23" s="5"/>
      <c r="E23" s="5"/>
      <c r="F23" s="5"/>
      <c r="G23" s="5"/>
      <c r="H23" s="5"/>
      <c r="I23" s="5"/>
      <c r="J23" s="5"/>
      <c r="K23" s="5"/>
    </row>
    <row r="24" spans="2:11" ht="15.75" customHeight="1" x14ac:dyDescent="0.3">
      <c r="B24" s="5"/>
      <c r="C24" s="3" t="s">
        <v>17</v>
      </c>
      <c r="D24" s="5"/>
      <c r="E24" s="5"/>
      <c r="F24" s="5"/>
      <c r="G24" s="5"/>
      <c r="H24" s="5"/>
      <c r="I24" s="5"/>
      <c r="J24" s="5"/>
      <c r="K24" s="5"/>
    </row>
    <row r="25" spans="2:11" ht="15.75" customHeight="1" x14ac:dyDescent="0.3">
      <c r="B25" s="5"/>
      <c r="C25" s="3" t="s">
        <v>18</v>
      </c>
      <c r="D25" s="5"/>
      <c r="E25" s="5"/>
      <c r="F25" s="5"/>
      <c r="G25" s="5"/>
      <c r="H25" s="5"/>
      <c r="I25" s="5"/>
      <c r="J25" s="5"/>
      <c r="K25" s="5"/>
    </row>
    <row r="26" spans="2:11" ht="15.75" customHeight="1" x14ac:dyDescent="0.3">
      <c r="B26" s="5"/>
      <c r="C26" s="3"/>
      <c r="D26" s="5"/>
      <c r="E26" s="5"/>
      <c r="F26" s="5"/>
      <c r="G26" s="5"/>
      <c r="H26" s="5"/>
      <c r="I26" s="5"/>
      <c r="J26" s="5"/>
      <c r="K26" s="5"/>
    </row>
    <row r="27" spans="2:11" ht="15.75" customHeight="1" x14ac:dyDescent="0.25">
      <c r="B27" s="5"/>
      <c r="C27" s="5"/>
      <c r="D27" s="6"/>
      <c r="E27" s="5"/>
      <c r="F27" s="5"/>
      <c r="G27" s="5"/>
      <c r="H27" s="5"/>
      <c r="I27" s="5"/>
      <c r="J27" s="5"/>
      <c r="K27" s="5"/>
    </row>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0"/>
  <sheetViews>
    <sheetView tabSelected="1" zoomScale="90" zoomScaleNormal="90" workbookViewId="0">
      <selection activeCell="I2" sqref="I2"/>
    </sheetView>
  </sheetViews>
  <sheetFormatPr defaultColWidth="12.6640625" defaultRowHeight="15" customHeight="1" x14ac:dyDescent="0.25"/>
  <cols>
    <col min="1" max="1" width="15" bestFit="1" customWidth="1"/>
    <col min="2" max="2" width="18.21875" bestFit="1" customWidth="1"/>
    <col min="3" max="3" width="16.5546875" bestFit="1" customWidth="1"/>
    <col min="4" max="4" width="22.6640625" bestFit="1" customWidth="1"/>
    <col min="5" max="5" width="13.109375" bestFit="1" customWidth="1"/>
    <col min="6" max="6" width="21.33203125" bestFit="1" customWidth="1"/>
    <col min="7" max="7" width="13.109375" bestFit="1" customWidth="1"/>
    <col min="8" max="8" width="13.6640625" bestFit="1" customWidth="1"/>
    <col min="9" max="9" width="22.33203125" bestFit="1" customWidth="1"/>
    <col min="10" max="10" width="23.109375" customWidth="1"/>
    <col min="11" max="11" width="18" bestFit="1" customWidth="1"/>
    <col min="12" max="12" width="17.44140625" customWidth="1"/>
    <col min="13" max="13" width="23.21875" bestFit="1" customWidth="1"/>
  </cols>
  <sheetData>
    <row r="1" spans="1:13" ht="15.75" customHeight="1" x14ac:dyDescent="0.25">
      <c r="A1" s="7" t="s">
        <v>19</v>
      </c>
      <c r="B1" s="7" t="s">
        <v>20</v>
      </c>
      <c r="C1" s="7" t="s">
        <v>21</v>
      </c>
      <c r="D1" s="7" t="s">
        <v>128</v>
      </c>
      <c r="E1" s="7" t="s">
        <v>22</v>
      </c>
      <c r="F1" s="7" t="s">
        <v>112</v>
      </c>
      <c r="G1" s="7" t="s">
        <v>23</v>
      </c>
      <c r="H1" s="7" t="s">
        <v>24</v>
      </c>
      <c r="I1" s="9" t="s">
        <v>113</v>
      </c>
      <c r="J1" s="9" t="s">
        <v>114</v>
      </c>
      <c r="K1" s="9" t="s">
        <v>115</v>
      </c>
    </row>
    <row r="2" spans="1:13" ht="15.75" customHeight="1" x14ac:dyDescent="0.25">
      <c r="A2" s="5" t="s">
        <v>25</v>
      </c>
      <c r="B2" s="10" t="s">
        <v>58</v>
      </c>
      <c r="C2" s="5" t="s">
        <v>26</v>
      </c>
      <c r="D2" s="5" t="str">
        <f>CONCATENATE(B2," - ",C2)</f>
        <v>Laptop - Dell</v>
      </c>
      <c r="E2" s="5">
        <v>1000</v>
      </c>
      <c r="F2" s="12">
        <f>IF(ISBLANK(E2),AVERAGE(E2:E35),E2)</f>
        <v>1000</v>
      </c>
      <c r="G2" s="5">
        <v>30</v>
      </c>
      <c r="H2" s="5" t="s">
        <v>27</v>
      </c>
      <c r="I2" s="5" t="str">
        <f>IF(ISBLANK(H2:H35),"UNKNOWN",H2)</f>
        <v>Electronics</v>
      </c>
      <c r="J2" s="11">
        <v>46050</v>
      </c>
      <c r="K2" s="13" t="s">
        <v>116</v>
      </c>
      <c r="M2" s="15"/>
    </row>
    <row r="3" spans="1:13" ht="15.75" customHeight="1" x14ac:dyDescent="0.25">
      <c r="A3" s="8" t="s">
        <v>28</v>
      </c>
      <c r="B3" s="8" t="s">
        <v>29</v>
      </c>
      <c r="C3" s="8" t="s">
        <v>30</v>
      </c>
      <c r="D3" s="5" t="str">
        <f t="shared" ref="D3:D32" si="0">CONCATENATE(B3," - ",C3)</f>
        <v>Sneakers - Nike</v>
      </c>
      <c r="E3" s="8">
        <v>80</v>
      </c>
      <c r="F3" s="12">
        <f>IF(ISBLANK(E3),AVERAGE(E3:E36),E3)</f>
        <v>80</v>
      </c>
      <c r="G3" s="8">
        <v>15</v>
      </c>
      <c r="H3" s="8" t="s">
        <v>31</v>
      </c>
      <c r="I3" s="5" t="str">
        <f>IF(ISBLANK(H3:H36),"UNKNOWN",H3)</f>
        <v>Fashion</v>
      </c>
      <c r="J3" s="11">
        <v>46068</v>
      </c>
      <c r="K3" s="13" t="s">
        <v>116</v>
      </c>
    </row>
    <row r="4" spans="1:13" ht="15.75" customHeight="1" x14ac:dyDescent="0.25">
      <c r="A4" s="5" t="s">
        <v>32</v>
      </c>
      <c r="B4" s="5" t="s">
        <v>33</v>
      </c>
      <c r="C4" s="5" t="s">
        <v>34</v>
      </c>
      <c r="D4" s="5" t="str">
        <f t="shared" si="0"/>
        <v>Coffee Maker - Keurig</v>
      </c>
      <c r="E4" s="5">
        <v>130</v>
      </c>
      <c r="F4" s="12">
        <f>IF(ISBLANK(E4),AVERAGE(E4:E37),E4)</f>
        <v>130</v>
      </c>
      <c r="G4" s="5">
        <v>40</v>
      </c>
      <c r="H4" s="5" t="s">
        <v>35</v>
      </c>
      <c r="I4" s="5" t="str">
        <f>IF(ISBLANK(H4:H37),"UNKNOWN",H4)</f>
        <v>Kitchen</v>
      </c>
      <c r="J4" s="11">
        <v>46084</v>
      </c>
      <c r="K4" s="13" t="s">
        <v>116</v>
      </c>
      <c r="M4" s="16"/>
    </row>
    <row r="5" spans="1:13" ht="15.75" customHeight="1" x14ac:dyDescent="0.25">
      <c r="A5" s="8" t="s">
        <v>36</v>
      </c>
      <c r="B5" s="10" t="s">
        <v>92</v>
      </c>
      <c r="C5" s="8" t="s">
        <v>37</v>
      </c>
      <c r="D5" s="5" t="str">
        <f t="shared" si="0"/>
        <v>Smartphone - Samsung</v>
      </c>
      <c r="E5" s="8">
        <v>900</v>
      </c>
      <c r="F5" s="12">
        <f>IF(ISBLANK(E5),AVERAGE(E5:E38),E5)</f>
        <v>900</v>
      </c>
      <c r="G5" s="8">
        <v>25</v>
      </c>
      <c r="H5" s="8" t="s">
        <v>27</v>
      </c>
      <c r="I5" s="5" t="str">
        <f>IF(ISBLANK(H5:H38),"UNKNOWN",H5)</f>
        <v>Electronics</v>
      </c>
      <c r="J5" s="11">
        <v>46123</v>
      </c>
      <c r="K5" s="13" t="s">
        <v>116</v>
      </c>
    </row>
    <row r="6" spans="1:13" ht="15.75" customHeight="1" x14ac:dyDescent="0.25">
      <c r="A6" s="5" t="s">
        <v>38</v>
      </c>
      <c r="B6" s="5" t="s">
        <v>39</v>
      </c>
      <c r="C6" s="5" t="s">
        <v>40</v>
      </c>
      <c r="D6" s="5" t="str">
        <f t="shared" si="0"/>
        <v>Backpack - North Face</v>
      </c>
      <c r="E6" s="5">
        <v>70</v>
      </c>
      <c r="F6" s="12">
        <f>IF(ISBLANK(E6),AVERAGE(E6:E39),E6)</f>
        <v>70</v>
      </c>
      <c r="G6" s="5">
        <v>20</v>
      </c>
      <c r="H6" s="5"/>
      <c r="I6" s="5" t="str">
        <f>IF(ISBLANK(H6:H39),"UNKNOWN",H6)</f>
        <v>UNKNOWN</v>
      </c>
      <c r="J6" s="11">
        <v>46164</v>
      </c>
      <c r="K6" s="13" t="s">
        <v>116</v>
      </c>
    </row>
    <row r="7" spans="1:13" ht="15.75" customHeight="1" x14ac:dyDescent="0.25">
      <c r="A7" s="8" t="s">
        <v>41</v>
      </c>
      <c r="B7" s="10" t="s">
        <v>42</v>
      </c>
      <c r="C7" s="8" t="s">
        <v>43</v>
      </c>
      <c r="D7" s="5" t="str">
        <f t="shared" si="0"/>
        <v>Headphones - Sony</v>
      </c>
      <c r="E7" s="8"/>
      <c r="F7" s="12">
        <f>IF(ISBLANK(E7),AVERAGE(E7:E40),E7)</f>
        <v>267.82608695652175</v>
      </c>
      <c r="G7" s="8">
        <v>45</v>
      </c>
      <c r="H7" s="10" t="s">
        <v>27</v>
      </c>
      <c r="I7" s="5" t="str">
        <f>IF(ISBLANK(H7:H40),"UNKNOWN",H7)</f>
        <v>Electronics</v>
      </c>
      <c r="J7" s="11">
        <v>46180</v>
      </c>
      <c r="K7" s="14" t="s">
        <v>117</v>
      </c>
    </row>
    <row r="8" spans="1:13" ht="15.75" customHeight="1" x14ac:dyDescent="0.25">
      <c r="A8" s="5" t="s">
        <v>44</v>
      </c>
      <c r="B8" s="5" t="s">
        <v>45</v>
      </c>
      <c r="C8" s="5" t="s">
        <v>46</v>
      </c>
      <c r="D8" s="5" t="str">
        <f t="shared" si="0"/>
        <v>T-shirt - Adidas</v>
      </c>
      <c r="E8" s="5">
        <v>30</v>
      </c>
      <c r="F8" s="12">
        <f>IF(ISBLANK(E8),AVERAGE(E8:E41),E8)</f>
        <v>30</v>
      </c>
      <c r="G8" s="5">
        <v>5</v>
      </c>
      <c r="H8" s="5" t="s">
        <v>31</v>
      </c>
      <c r="I8" s="5" t="str">
        <f>IF(ISBLANK(H8:H41),"UNKNOWN",H8)</f>
        <v>Fashion</v>
      </c>
      <c r="J8" s="11">
        <v>46222</v>
      </c>
      <c r="K8" s="13" t="s">
        <v>117</v>
      </c>
    </row>
    <row r="9" spans="1:13" ht="15.75" customHeight="1" x14ac:dyDescent="0.25">
      <c r="A9" s="8" t="s">
        <v>47</v>
      </c>
      <c r="B9" s="8" t="s">
        <v>48</v>
      </c>
      <c r="C9" s="8" t="s">
        <v>49</v>
      </c>
      <c r="D9" s="5" t="str">
        <f t="shared" si="0"/>
        <v>Blender - Ninja</v>
      </c>
      <c r="E9" s="8">
        <v>90</v>
      </c>
      <c r="F9" s="12">
        <f>IF(ISBLANK(E9),AVERAGE(E9:E42),E9)</f>
        <v>90</v>
      </c>
      <c r="G9" s="8">
        <v>35</v>
      </c>
      <c r="H9" s="8" t="s">
        <v>35</v>
      </c>
      <c r="I9" s="5" t="str">
        <f>IF(ISBLANK(H9:H42),"UNKNOWN",H9)</f>
        <v>Kitchen</v>
      </c>
      <c r="J9" s="11">
        <v>46257</v>
      </c>
      <c r="K9" s="13" t="s">
        <v>117</v>
      </c>
    </row>
    <row r="10" spans="1:13" ht="15.75" customHeight="1" x14ac:dyDescent="0.25">
      <c r="A10" s="5" t="s">
        <v>50</v>
      </c>
      <c r="B10" s="5" t="s">
        <v>51</v>
      </c>
      <c r="C10" s="5" t="s">
        <v>52</v>
      </c>
      <c r="D10" s="5" t="str">
        <f t="shared" si="0"/>
        <v>Tablet - Apple</v>
      </c>
      <c r="E10" s="5">
        <v>500</v>
      </c>
      <c r="F10" s="12">
        <f>IF(ISBLANK(E10),AVERAGE(E10:E43),E10)</f>
        <v>500</v>
      </c>
      <c r="G10" s="5">
        <v>50</v>
      </c>
      <c r="H10" s="5" t="s">
        <v>27</v>
      </c>
      <c r="I10" s="5" t="str">
        <f>IF(ISBLANK(H10:H43),"UNKNOWN",H10)</f>
        <v>Electronics</v>
      </c>
      <c r="J10" s="11">
        <v>46270</v>
      </c>
      <c r="K10" s="13" t="s">
        <v>117</v>
      </c>
    </row>
    <row r="11" spans="1:13" ht="15.75" customHeight="1" x14ac:dyDescent="0.25">
      <c r="A11" s="8" t="s">
        <v>53</v>
      </c>
      <c r="B11" s="8" t="s">
        <v>54</v>
      </c>
      <c r="C11" s="8" t="s">
        <v>55</v>
      </c>
      <c r="D11" s="5" t="str">
        <f t="shared" si="0"/>
        <v>Hiking Boots - Timberland</v>
      </c>
      <c r="E11" s="8">
        <v>130</v>
      </c>
      <c r="F11" s="12">
        <f>IF(ISBLANK(E11),AVERAGE(E11:E44),E11)</f>
        <v>130</v>
      </c>
      <c r="G11" s="8">
        <v>10</v>
      </c>
      <c r="H11" s="8" t="s">
        <v>56</v>
      </c>
      <c r="I11" s="5" t="str">
        <f>IF(ISBLANK(H11:H44),"UNKNOWN",H11)</f>
        <v>Outdoor</v>
      </c>
      <c r="J11" s="11">
        <v>46309</v>
      </c>
      <c r="K11" s="13" t="s">
        <v>117</v>
      </c>
    </row>
    <row r="12" spans="1:13" ht="15.75" customHeight="1" x14ac:dyDescent="0.25">
      <c r="A12" s="5" t="s">
        <v>57</v>
      </c>
      <c r="B12" s="10" t="s">
        <v>58</v>
      </c>
      <c r="C12" s="5" t="s">
        <v>59</v>
      </c>
      <c r="D12" s="5" t="str">
        <f t="shared" si="0"/>
        <v>Laptop - HP</v>
      </c>
      <c r="E12" s="5">
        <v>950</v>
      </c>
      <c r="F12" s="12">
        <f>IF(ISBLANK(E12),AVERAGE(E12:E45),E12)</f>
        <v>950</v>
      </c>
      <c r="G12" s="5">
        <v>25</v>
      </c>
      <c r="H12" s="5" t="s">
        <v>27</v>
      </c>
      <c r="I12" s="5" t="str">
        <f>IF(ISBLANK(H12:H45),"UNKNOWN",H12)</f>
        <v>Electronics</v>
      </c>
      <c r="J12" s="11">
        <v>46190</v>
      </c>
      <c r="K12" s="13" t="s">
        <v>118</v>
      </c>
    </row>
    <row r="13" spans="1:13" ht="15.75" customHeight="1" x14ac:dyDescent="0.25">
      <c r="A13" s="8" t="s">
        <v>60</v>
      </c>
      <c r="B13" s="8" t="s">
        <v>29</v>
      </c>
      <c r="C13" s="8" t="s">
        <v>46</v>
      </c>
      <c r="D13" s="5" t="str">
        <f t="shared" si="0"/>
        <v>Sneakers - Adidas</v>
      </c>
      <c r="E13" s="8">
        <v>90</v>
      </c>
      <c r="F13" s="12">
        <f>IF(ISBLANK(E13),AVERAGE(E13:E46),E13)</f>
        <v>90</v>
      </c>
      <c r="G13" s="8">
        <v>40</v>
      </c>
      <c r="H13" s="8"/>
      <c r="I13" s="5" t="str">
        <f>IF(ISBLANK(H13:H46),"UNKNOWN",H13)</f>
        <v>UNKNOWN</v>
      </c>
      <c r="J13" s="11">
        <v>46351</v>
      </c>
      <c r="K13" s="13" t="s">
        <v>119</v>
      </c>
    </row>
    <row r="14" spans="1:13" ht="15.75" customHeight="1" x14ac:dyDescent="0.25">
      <c r="A14" s="5" t="s">
        <v>61</v>
      </c>
      <c r="B14" s="5" t="s">
        <v>33</v>
      </c>
      <c r="C14" s="5" t="s">
        <v>62</v>
      </c>
      <c r="D14" s="5" t="str">
        <f t="shared" si="0"/>
        <v>Coffee Maker - Nespresso</v>
      </c>
      <c r="E14" s="5">
        <v>120</v>
      </c>
      <c r="F14" s="12">
        <f>IF(ISBLANK(E14),AVERAGE(E14:E47),E14)</f>
        <v>120</v>
      </c>
      <c r="G14" s="5">
        <v>35</v>
      </c>
      <c r="H14" s="5"/>
      <c r="I14" s="5" t="str">
        <f>IF(ISBLANK(H14:H47),"UNKNOWN",H14)</f>
        <v>UNKNOWN</v>
      </c>
      <c r="J14" s="11">
        <v>46364</v>
      </c>
      <c r="K14" s="13" t="s">
        <v>120</v>
      </c>
    </row>
    <row r="15" spans="1:13" ht="15.75" customHeight="1" x14ac:dyDescent="0.25">
      <c r="A15" s="8" t="s">
        <v>63</v>
      </c>
      <c r="B15" s="8" t="s">
        <v>64</v>
      </c>
      <c r="C15" s="8" t="s">
        <v>65</v>
      </c>
      <c r="D15" s="5" t="str">
        <f t="shared" si="0"/>
        <v>Smartwatch - Fitbit</v>
      </c>
      <c r="E15" s="8">
        <v>150</v>
      </c>
      <c r="F15" s="12">
        <f>IF(ISBLANK(E15),AVERAGE(E15:E48),E15)</f>
        <v>150</v>
      </c>
      <c r="G15" s="8">
        <v>15</v>
      </c>
      <c r="H15" s="10" t="s">
        <v>27</v>
      </c>
      <c r="I15" s="5" t="str">
        <f>IF(ISBLANK(H15:H48),"UNKNOWN",H15)</f>
        <v>Electronics</v>
      </c>
      <c r="J15" s="11">
        <v>46071</v>
      </c>
      <c r="K15" s="13" t="s">
        <v>121</v>
      </c>
    </row>
    <row r="16" spans="1:13" ht="15.75" customHeight="1" x14ac:dyDescent="0.25">
      <c r="A16" s="5" t="s">
        <v>66</v>
      </c>
      <c r="B16" s="10" t="s">
        <v>42</v>
      </c>
      <c r="C16" s="5" t="s">
        <v>67</v>
      </c>
      <c r="D16" s="5" t="str">
        <f t="shared" si="0"/>
        <v>Headphones - Bose</v>
      </c>
      <c r="E16" s="5">
        <v>250</v>
      </c>
      <c r="F16" s="12">
        <f>IF(ISBLANK(E16),AVERAGE(E16:E49),E16)</f>
        <v>250</v>
      </c>
      <c r="G16" s="5">
        <v>20</v>
      </c>
      <c r="H16" s="5" t="s">
        <v>27</v>
      </c>
      <c r="I16" s="5" t="str">
        <f>IF(ISBLANK(H16:H49),"UNKNOWN",H16)</f>
        <v>Electronics</v>
      </c>
      <c r="J16" s="11">
        <v>46128</v>
      </c>
      <c r="K16" s="13" t="s">
        <v>122</v>
      </c>
    </row>
    <row r="17" spans="1:11" ht="15.75" customHeight="1" x14ac:dyDescent="0.25">
      <c r="A17" s="8" t="s">
        <v>68</v>
      </c>
      <c r="B17" s="8" t="s">
        <v>69</v>
      </c>
      <c r="C17" s="8" t="s">
        <v>70</v>
      </c>
      <c r="D17" s="5" t="str">
        <f t="shared" si="0"/>
        <v>Laptop Bag - Samsonite</v>
      </c>
      <c r="E17" s="8">
        <v>50</v>
      </c>
      <c r="F17" s="12">
        <f>IF(ISBLANK(E17),AVERAGE(E17:E50),E17)</f>
        <v>50</v>
      </c>
      <c r="G17" s="8">
        <v>35</v>
      </c>
      <c r="H17" s="8" t="s">
        <v>71</v>
      </c>
      <c r="I17" s="5" t="str">
        <f>IF(ISBLANK(H17:H50),"UNKNOWN",H17)</f>
        <v>Accessories</v>
      </c>
      <c r="J17" s="11">
        <v>46255</v>
      </c>
      <c r="K17" s="13" t="s">
        <v>121</v>
      </c>
    </row>
    <row r="18" spans="1:11" ht="15.75" customHeight="1" x14ac:dyDescent="0.25">
      <c r="A18" s="5" t="s">
        <v>72</v>
      </c>
      <c r="B18" s="5" t="s">
        <v>64</v>
      </c>
      <c r="C18" s="5" t="s">
        <v>73</v>
      </c>
      <c r="D18" s="5" t="str">
        <f t="shared" si="0"/>
        <v>Smartwatch - Huawei</v>
      </c>
      <c r="E18" s="5">
        <v>160</v>
      </c>
      <c r="F18" s="12">
        <f>IF(ISBLANK(E18),AVERAGE(E18:E51),E18)</f>
        <v>160</v>
      </c>
      <c r="G18" s="5">
        <v>15</v>
      </c>
      <c r="H18" s="10" t="s">
        <v>27</v>
      </c>
      <c r="I18" s="5" t="str">
        <f>IF(ISBLANK(H18:H51),"UNKNOWN",H18)</f>
        <v>Electronics</v>
      </c>
      <c r="J18" s="11">
        <v>46254</v>
      </c>
      <c r="K18" s="13" t="s">
        <v>123</v>
      </c>
    </row>
    <row r="19" spans="1:11" ht="15.75" customHeight="1" x14ac:dyDescent="0.25">
      <c r="A19" s="8" t="s">
        <v>74</v>
      </c>
      <c r="B19" s="10" t="s">
        <v>58</v>
      </c>
      <c r="C19" s="8" t="s">
        <v>75</v>
      </c>
      <c r="D19" s="5" t="str">
        <f t="shared" si="0"/>
        <v>Laptop - Asus</v>
      </c>
      <c r="E19" s="8">
        <v>980</v>
      </c>
      <c r="F19" s="12">
        <f>IF(ISBLANK(E19),AVERAGE(E19:E52),E19)</f>
        <v>980</v>
      </c>
      <c r="G19" s="8">
        <v>10</v>
      </c>
      <c r="H19" s="8" t="s">
        <v>27</v>
      </c>
      <c r="I19" s="5" t="str">
        <f>IF(ISBLANK(H19:H52),"UNKNOWN",H19)</f>
        <v>Electronics</v>
      </c>
      <c r="J19" s="11">
        <v>46049</v>
      </c>
      <c r="K19" s="13" t="s">
        <v>124</v>
      </c>
    </row>
    <row r="20" spans="1:11" ht="15.75" customHeight="1" x14ac:dyDescent="0.25">
      <c r="A20" s="5" t="s">
        <v>76</v>
      </c>
      <c r="B20" s="5" t="s">
        <v>77</v>
      </c>
      <c r="C20" s="5" t="s">
        <v>78</v>
      </c>
      <c r="D20" s="5" t="str">
        <f t="shared" si="0"/>
        <v>Sunglasses - Oakley</v>
      </c>
      <c r="E20" s="5">
        <v>150</v>
      </c>
      <c r="F20" s="12">
        <f>IF(ISBLANK(E20),AVERAGE(E20:E53),E20)</f>
        <v>150</v>
      </c>
      <c r="G20" s="5">
        <v>15</v>
      </c>
      <c r="H20" s="5" t="s">
        <v>31</v>
      </c>
      <c r="I20" s="5" t="str">
        <f>IF(ISBLANK(H20:H53),"UNKNOWN",H20)</f>
        <v>Fashion</v>
      </c>
      <c r="J20" s="11">
        <v>46082</v>
      </c>
      <c r="K20" s="13" t="s">
        <v>117</v>
      </c>
    </row>
    <row r="21" spans="1:11" ht="15.75" customHeight="1" x14ac:dyDescent="0.25">
      <c r="A21" s="8" t="s">
        <v>79</v>
      </c>
      <c r="B21" s="8" t="s">
        <v>80</v>
      </c>
      <c r="C21" s="8" t="s">
        <v>81</v>
      </c>
      <c r="D21" s="5" t="str">
        <f t="shared" si="0"/>
        <v>Camping Tent - Coleman</v>
      </c>
      <c r="E21" s="8"/>
      <c r="F21" s="12">
        <f>IF(ISBLANK(E21),AVERAGE(E21:E54),E21)</f>
        <v>251</v>
      </c>
      <c r="G21" s="8">
        <v>10</v>
      </c>
      <c r="H21" s="8" t="s">
        <v>56</v>
      </c>
      <c r="I21" s="5" t="str">
        <f>IF(ISBLANK(H21:H54),"UNKNOWN",H21)</f>
        <v>Outdoor</v>
      </c>
      <c r="J21" s="11">
        <v>46248</v>
      </c>
      <c r="K21" s="13" t="s">
        <v>116</v>
      </c>
    </row>
    <row r="22" spans="1:11" ht="15.75" customHeight="1" x14ac:dyDescent="0.25">
      <c r="A22" s="5" t="s">
        <v>82</v>
      </c>
      <c r="B22" s="5" t="s">
        <v>83</v>
      </c>
      <c r="C22" s="5" t="s">
        <v>84</v>
      </c>
      <c r="D22" s="5" t="str">
        <f t="shared" si="0"/>
        <v>Camera - Nikon</v>
      </c>
      <c r="E22" s="5">
        <v>700</v>
      </c>
      <c r="F22" s="12">
        <f>IF(ISBLANK(E22),AVERAGE(E22:E55),E22)</f>
        <v>700</v>
      </c>
      <c r="G22" s="5">
        <v>50</v>
      </c>
      <c r="H22" s="5" t="s">
        <v>27</v>
      </c>
      <c r="I22" s="5" t="str">
        <f>IF(ISBLANK(H22:H55),"UNKNOWN",H22)</f>
        <v>Electronics</v>
      </c>
      <c r="J22" s="11">
        <v>46156</v>
      </c>
      <c r="K22" s="13" t="s">
        <v>125</v>
      </c>
    </row>
    <row r="23" spans="1:11" ht="15.75" customHeight="1" x14ac:dyDescent="0.25">
      <c r="A23" s="8" t="s">
        <v>85</v>
      </c>
      <c r="B23" s="8" t="s">
        <v>86</v>
      </c>
      <c r="C23" s="8" t="s">
        <v>87</v>
      </c>
      <c r="D23" s="5" t="str">
        <f t="shared" si="0"/>
        <v>Microwave - Panasonic</v>
      </c>
      <c r="E23" s="8">
        <v>80</v>
      </c>
      <c r="F23" s="12">
        <f>IF(ISBLANK(E23),AVERAGE(E23:E56),E23)</f>
        <v>80</v>
      </c>
      <c r="G23" s="8">
        <v>20</v>
      </c>
      <c r="H23" s="8" t="s">
        <v>35</v>
      </c>
      <c r="I23" s="5" t="str">
        <f>IF(ISBLANK(H23:H56),"UNKNOWN",H23)</f>
        <v>Kitchen</v>
      </c>
      <c r="J23" s="11">
        <v>46031</v>
      </c>
      <c r="K23" s="13" t="s">
        <v>121</v>
      </c>
    </row>
    <row r="24" spans="1:11" ht="15.75" customHeight="1" x14ac:dyDescent="0.25">
      <c r="A24" s="5" t="s">
        <v>88</v>
      </c>
      <c r="B24" s="5" t="s">
        <v>89</v>
      </c>
      <c r="C24" s="5" t="s">
        <v>90</v>
      </c>
      <c r="D24" s="5" t="str">
        <f t="shared" si="0"/>
        <v>Fitness Tracker - Xiaomi</v>
      </c>
      <c r="E24" s="5">
        <v>150</v>
      </c>
      <c r="F24" s="12">
        <f>IF(ISBLANK(E24),AVERAGE(E24:E57),E24)</f>
        <v>150</v>
      </c>
      <c r="G24" s="5">
        <v>30</v>
      </c>
      <c r="H24" s="5"/>
      <c r="I24" s="5" t="str">
        <f>IF(ISBLANK(H24:H57),"UNKNOWN",H24)</f>
        <v>UNKNOWN</v>
      </c>
      <c r="J24" s="11">
        <v>46222</v>
      </c>
      <c r="K24" s="13" t="s">
        <v>126</v>
      </c>
    </row>
    <row r="25" spans="1:11" ht="15.75" customHeight="1" x14ac:dyDescent="0.25">
      <c r="A25" s="5" t="s">
        <v>91</v>
      </c>
      <c r="B25" s="5" t="s">
        <v>92</v>
      </c>
      <c r="C25" s="5" t="s">
        <v>93</v>
      </c>
      <c r="D25" s="5" t="str">
        <f t="shared" si="0"/>
        <v>Smartphone - Google</v>
      </c>
      <c r="E25" s="5">
        <v>800</v>
      </c>
      <c r="F25" s="12">
        <f>IF(ISBLANK(E25),AVERAGE(E25:E58),E25)</f>
        <v>800</v>
      </c>
      <c r="G25" s="5">
        <v>45</v>
      </c>
      <c r="H25" s="5" t="s">
        <v>27</v>
      </c>
      <c r="I25" s="5" t="str">
        <f>IF(ISBLANK(H25:H58),"UNKNOWN",H25)</f>
        <v>Electronics</v>
      </c>
      <c r="J25" s="11">
        <v>46294</v>
      </c>
      <c r="K25" s="13" t="s">
        <v>121</v>
      </c>
    </row>
    <row r="26" spans="1:11" ht="15.75" customHeight="1" x14ac:dyDescent="0.25">
      <c r="A26" s="8" t="s">
        <v>94</v>
      </c>
      <c r="B26" s="8" t="s">
        <v>77</v>
      </c>
      <c r="C26" s="8" t="s">
        <v>95</v>
      </c>
      <c r="D26" s="5" t="str">
        <f t="shared" si="0"/>
        <v>Sunglasses - Ray-Ban</v>
      </c>
      <c r="E26" s="8"/>
      <c r="F26" s="12">
        <f>IF(ISBLANK(E26),AVERAGE(E26:E59),E26)</f>
        <v>130</v>
      </c>
      <c r="G26" s="8">
        <v>25</v>
      </c>
      <c r="H26" s="8" t="s">
        <v>31</v>
      </c>
      <c r="I26" s="5" t="str">
        <f>IF(ISBLANK(H26:H59),"UNKNOWN",H26)</f>
        <v>Fashion</v>
      </c>
      <c r="J26" s="11">
        <v>46176</v>
      </c>
      <c r="K26" s="13" t="s">
        <v>121</v>
      </c>
    </row>
    <row r="27" spans="1:11" ht="15.75" customHeight="1" x14ac:dyDescent="0.25">
      <c r="A27" s="5" t="s">
        <v>96</v>
      </c>
      <c r="B27" s="5" t="s">
        <v>48</v>
      </c>
      <c r="C27" s="5" t="s">
        <v>97</v>
      </c>
      <c r="D27" s="5" t="str">
        <f t="shared" si="0"/>
        <v>Blender - Vitamix</v>
      </c>
      <c r="E27" s="5">
        <v>400</v>
      </c>
      <c r="F27" s="12">
        <f>IF(ISBLANK(E27),AVERAGE(E27:E60),E27)</f>
        <v>400</v>
      </c>
      <c r="G27" s="5">
        <v>40</v>
      </c>
      <c r="H27" s="5" t="s">
        <v>35</v>
      </c>
      <c r="I27" s="5" t="str">
        <f>IF(ISBLANK(H27:H60),"UNKNOWN",H27)</f>
        <v>Kitchen</v>
      </c>
      <c r="J27" s="11">
        <v>46214</v>
      </c>
      <c r="K27" s="13" t="s">
        <v>121</v>
      </c>
    </row>
    <row r="28" spans="1:11" ht="15.75" customHeight="1" x14ac:dyDescent="0.25">
      <c r="A28" s="5" t="s">
        <v>98</v>
      </c>
      <c r="B28" s="5" t="s">
        <v>99</v>
      </c>
      <c r="C28" s="5" t="s">
        <v>100</v>
      </c>
      <c r="D28" s="5" t="str">
        <f t="shared" si="0"/>
        <v>Dress - Zara</v>
      </c>
      <c r="E28" s="5">
        <v>60</v>
      </c>
      <c r="F28" s="12">
        <f>IF(ISBLANK(E28),AVERAGE(E28:E61),E28)</f>
        <v>60</v>
      </c>
      <c r="G28" s="5">
        <v>30</v>
      </c>
      <c r="H28" s="5" t="s">
        <v>31</v>
      </c>
      <c r="I28" s="5" t="str">
        <f>IF(ISBLANK(H28:H61),"UNKNOWN",H28)</f>
        <v>Fashion</v>
      </c>
      <c r="J28" s="11">
        <v>46088</v>
      </c>
      <c r="K28" s="13" t="s">
        <v>121</v>
      </c>
    </row>
    <row r="29" spans="1:11" ht="15.75" customHeight="1" x14ac:dyDescent="0.25">
      <c r="A29" s="8" t="s">
        <v>101</v>
      </c>
      <c r="B29" s="8" t="s">
        <v>102</v>
      </c>
      <c r="C29" s="8" t="s">
        <v>103</v>
      </c>
      <c r="D29" s="5" t="str">
        <f t="shared" si="0"/>
        <v>Toaster - Hamilton</v>
      </c>
      <c r="E29" s="8">
        <v>40</v>
      </c>
      <c r="F29" s="12">
        <f>IF(ISBLANK(E29),AVERAGE(E29:E62),E29)</f>
        <v>40</v>
      </c>
      <c r="G29" s="8">
        <v>10</v>
      </c>
      <c r="H29" s="8" t="s">
        <v>35</v>
      </c>
      <c r="I29" s="5" t="str">
        <f>IF(ISBLANK(H29:H62),"UNKNOWN",H29)</f>
        <v>Kitchen</v>
      </c>
      <c r="J29" s="11">
        <v>46125</v>
      </c>
      <c r="K29" s="13" t="s">
        <v>121</v>
      </c>
    </row>
    <row r="30" spans="1:11" ht="15.75" customHeight="1" x14ac:dyDescent="0.25">
      <c r="A30" s="5" t="s">
        <v>104</v>
      </c>
      <c r="B30" s="5" t="s">
        <v>89</v>
      </c>
      <c r="C30" s="5" t="s">
        <v>105</v>
      </c>
      <c r="D30" s="5" t="str">
        <f t="shared" si="0"/>
        <v>Fitness Tracker - Garmin</v>
      </c>
      <c r="E30" s="5">
        <v>130</v>
      </c>
      <c r="F30" s="12">
        <f>IF(ISBLANK(E30),AVERAGE(E30:E63),E30)</f>
        <v>130</v>
      </c>
      <c r="G30" s="5">
        <v>5</v>
      </c>
      <c r="H30" s="5" t="s">
        <v>27</v>
      </c>
      <c r="I30" s="5" t="str">
        <f>IF(ISBLANK(H30:H63),"UNKNOWN",H30)</f>
        <v>Electronics</v>
      </c>
      <c r="J30" s="11">
        <v>46166</v>
      </c>
      <c r="K30" s="13" t="s">
        <v>121</v>
      </c>
    </row>
    <row r="31" spans="1:11" ht="15.75" customHeight="1" x14ac:dyDescent="0.25">
      <c r="A31" s="8" t="s">
        <v>106</v>
      </c>
      <c r="B31" s="8" t="s">
        <v>107</v>
      </c>
      <c r="C31" s="8" t="s">
        <v>108</v>
      </c>
      <c r="D31" s="5" t="str">
        <f t="shared" si="0"/>
        <v>Jeans - Levi's</v>
      </c>
      <c r="E31" s="8">
        <v>50</v>
      </c>
      <c r="F31" s="12">
        <f>IF(ISBLANK(E31),AVERAGE(E31:E64),E31)</f>
        <v>50</v>
      </c>
      <c r="G31" s="8">
        <v>50</v>
      </c>
      <c r="H31" s="8" t="s">
        <v>31</v>
      </c>
      <c r="I31" s="5" t="str">
        <f>IF(ISBLANK(H31:H64),"UNKNOWN",H31)</f>
        <v>Fashion</v>
      </c>
      <c r="J31" s="11">
        <v>46358</v>
      </c>
      <c r="K31" s="13" t="s">
        <v>121</v>
      </c>
    </row>
    <row r="32" spans="1:11" ht="15.75" customHeight="1" x14ac:dyDescent="0.25">
      <c r="A32" s="8" t="s">
        <v>109</v>
      </c>
      <c r="B32" s="8" t="s">
        <v>110</v>
      </c>
      <c r="C32" s="8" t="s">
        <v>111</v>
      </c>
      <c r="D32" s="5" t="str">
        <f t="shared" si="0"/>
        <v>Watch - Casio</v>
      </c>
      <c r="E32" s="8">
        <v>100</v>
      </c>
      <c r="F32" s="12">
        <f>IF(ISBLANK(E32),AVERAGE(E32:E65),E32)</f>
        <v>100</v>
      </c>
      <c r="G32" s="8">
        <v>20</v>
      </c>
      <c r="H32" s="8" t="s">
        <v>71</v>
      </c>
      <c r="I32" s="5" t="str">
        <f>IF(ISBLANK(H32:H65),"UNKNOWN",H32)</f>
        <v>Accessories</v>
      </c>
      <c r="J32" s="11">
        <v>46212</v>
      </c>
      <c r="K32" s="13" t="s">
        <v>127</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2:F32">
    <cfRule type="dataBar" priority="2">
      <dataBar>
        <cfvo type="min"/>
        <cfvo type="max"/>
        <color rgb="FF008AEF"/>
      </dataBar>
      <extLst>
        <ext xmlns:x14="http://schemas.microsoft.com/office/spreadsheetml/2009/9/main" uri="{B025F937-C7B1-47D3-B67F-A62EFF666E3E}">
          <x14:id>{27491408-EC72-41BC-987E-E757973D6F23}</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491408-EC72-41BC-987E-E757973D6F23}">
            <x14:dataBar minLength="0" maxLength="100" gradient="0">
              <x14:cfvo type="autoMin"/>
              <x14:cfvo type="autoMax"/>
              <x14:negativeFillColor rgb="FFFF0000"/>
              <x14:axisColor rgb="FF000000"/>
            </x14:dataBar>
          </x14:cfRule>
          <xm:sqref>F2:F32</xm:sqref>
        </x14:conditionalFormatting>
        <x14:conditionalFormatting xmlns:xm="http://schemas.microsoft.com/office/excel/2006/main">
          <x14:cfRule type="containsText" priority="1" operator="containsText" id="{15423011-4625-43F0-BC55-CAC14AF08A2E}">
            <xm:f>NOT(ISERROR(SEARCH($I$2,I2)))</xm:f>
            <xm:f>$I$2</xm:f>
            <x14:dxf>
              <font>
                <color rgb="FF9C0006"/>
              </font>
              <fill>
                <patternFill>
                  <bgColor rgb="FFFFC7CE"/>
                </patternFill>
              </fill>
            </x14:dxf>
          </x14:cfRule>
          <xm:sqref>I2:I32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akhila bijo</cp:lastModifiedBy>
  <dcterms:created xsi:type="dcterms:W3CDTF">2026-10-24T17:57:56Z</dcterms:created>
  <dcterms:modified xsi:type="dcterms:W3CDTF">2026-10-25T07:03:42Z</dcterms:modified>
</cp:coreProperties>
</file>